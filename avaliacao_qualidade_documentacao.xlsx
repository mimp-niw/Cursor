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6925"/>
  <bookViews>
    <workbookView xWindow="0" yWindow="0" windowWidth="28800" windowHeight="17280"/>
  </bookViews>
  <sheets>
    <sheet name="Instrucoes" sheetId="1" r:id="rId1"/>
    <sheet name="Avaliacao" sheetId="2" r:id="rId2"/>
  </sheets>
  <calcPr calcId="191029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b/>
      <sz val="14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64" fontId="2" fillId="5" borderId="1" xfId="0" applyFont="1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22"/>
  <sheetViews>
    <sheetView workbookViewId="0"/>
  </sheetViews>
  <sheetFormatPr defaultRowHeight="18"/>
  <cols>
    <col min="1" max="1" width="18" customWidth="1"/>
    <col min="2" max="2" width="36" customWidth="1"/>
    <col min="3" max="3" width="46" customWidth="1"/>
    <col min="4" max="6" width="18" customWidth="1"/>
  </cols>
  <sheetData>
    <row r="1" ht="26" customHeight="1">
      <c r="A1" t="inlineStr" s="1">
        <is>
          <t>Modelo de avaliação da qualidade da documentação técnica e funcional</t>
        </is>
      </c>
    </row>
    <row r="3">
      <c r="A3" t="inlineStr" s="2">
        <is>
          <t>Como usar</t>
        </is>
      </c>
    </row>
    <row r="4" ht="56" customHeight="1">
      <c r="A4" t="inlineStr" s="4">
        <is>
          <t>1. Preencha o contexto da avaliação na folha 'Avaliacao'.
2. Atribua uma nota de 1 a 5 a cada critério.
3. Registe evidências, riscos e ações recomendadas.
4. Use a pontuação global e as médias técnica/funcional para priorizar melhorias.</t>
        </is>
      </c>
    </row>
    <row r="6">
      <c r="A6" t="inlineStr" s="2">
        <is>
          <t>Escala de pontuação</t>
        </is>
      </c>
    </row>
    <row r="7" ht="22" customHeight="1">
      <c r="A7" t="inlineStr" s="3">
        <is>
          <t>Nota</t>
        </is>
      </c>
      <c r="B7" t="inlineStr" s="3">
        <is>
          <t>Interpretação</t>
        </is>
      </c>
      <c r="C7" t="inlineStr" s="3">
        <is>
          <t>Ação sugerida</t>
        </is>
      </c>
    </row>
    <row r="8" ht="26" customHeight="1">
      <c r="A8" s="5">
        <v>1</v>
      </c>
      <c r="B8" t="inlineStr" s="4">
        <is>
          <t>Inexistente ou incorreto</t>
        </is>
      </c>
      <c r="C8" t="inlineStr" s="4">
        <is>
          <t>Criar de raiz e tratar como risco crítico</t>
        </is>
      </c>
    </row>
    <row r="9" ht="26" customHeight="1">
      <c r="A9" s="5">
        <v>2</v>
      </c>
      <c r="B9" t="inlineStr" s="4">
        <is>
          <t>Muito fraco</t>
        </is>
      </c>
      <c r="C9" t="inlineStr" s="4">
        <is>
          <t>Corrigir urgentemente antes de depender do documento</t>
        </is>
      </c>
    </row>
    <row r="10" ht="26" customHeight="1">
      <c r="A10" s="5">
        <v>3</v>
      </c>
      <c r="B10" t="inlineStr" s="4">
        <is>
          <t>Aceitável, mas incompleto</t>
        </is>
      </c>
      <c r="C10" t="inlineStr" s="4">
        <is>
          <t>Planear melhorias com prioridade média</t>
        </is>
      </c>
    </row>
    <row r="11" ht="26" customHeight="1">
      <c r="A11" s="5">
        <v>4</v>
      </c>
      <c r="B11" t="inlineStr" s="4">
        <is>
          <t>Bom</t>
        </is>
      </c>
      <c r="C11" t="inlineStr" s="4">
        <is>
          <t>Ajustar pontos residuais e manter atualizado</t>
        </is>
      </c>
    </row>
    <row r="12" ht="26" customHeight="1">
      <c r="A12" s="5">
        <v>5</v>
      </c>
      <c r="B12" t="inlineStr" s="4">
        <is>
          <t>Excelente</t>
        </is>
      </c>
      <c r="C12" t="inlineStr" s="4">
        <is>
          <t>Manter como referência e replicar padrão</t>
        </is>
      </c>
    </row>
    <row r="14">
      <c r="A14" t="inlineStr" s="2">
        <is>
          <t>Leitura da pontuação global</t>
        </is>
      </c>
    </row>
    <row r="15" ht="22" customHeight="1">
      <c r="A15" t="inlineStr" s="3">
        <is>
          <t>Faixa</t>
        </is>
      </c>
      <c r="B15" t="inlineStr" s="3">
        <is>
          <t>Leitura</t>
        </is>
      </c>
      <c r="C15" t="inlineStr" s="3">
        <is>
          <t>Decisão sugerida</t>
        </is>
      </c>
    </row>
    <row r="16" ht="24" customHeight="1">
      <c r="A16" t="inlineStr" s="5">
        <is>
          <t>85-100</t>
        </is>
      </c>
      <c r="B16" t="inlineStr" s="4">
        <is>
          <t>Excelente</t>
        </is>
      </c>
      <c r="C16" t="inlineStr" s="4">
        <is>
          <t>Documentação robusta e reutilizável</t>
        </is>
      </c>
    </row>
    <row r="17" ht="24" customHeight="1">
      <c r="A17" t="inlineStr" s="5">
        <is>
          <t>70-84,9</t>
        </is>
      </c>
      <c r="B17" t="inlineStr" s="4">
        <is>
          <t>Boa</t>
        </is>
      </c>
      <c r="C17" t="inlineStr" s="4">
        <is>
          <t>Apta para uso com pequenas melhorias</t>
        </is>
      </c>
    </row>
    <row r="18" ht="24" customHeight="1">
      <c r="A18" t="inlineStr" s="5">
        <is>
          <t>50-69,9</t>
        </is>
      </c>
      <c r="B18" t="inlineStr" s="4">
        <is>
          <t>Suficiente</t>
        </is>
      </c>
      <c r="C18" t="inlineStr" s="4">
        <is>
          <t>Usável, mas com lacunas relevantes</t>
        </is>
      </c>
    </row>
    <row r="19" ht="24" customHeight="1">
      <c r="A19" t="inlineStr" s="5">
        <is>
          <t>&lt;50</t>
        </is>
      </c>
      <c r="B19" t="inlineStr" s="4">
        <is>
          <t>Crítica</t>
        </is>
      </c>
      <c r="C19" t="inlineStr" s="4">
        <is>
          <t>Necessita intervenção estruturada</t>
        </is>
      </c>
    </row>
    <row r="21">
      <c r="A21" t="inlineStr" s="2">
        <is>
          <t>Boas práticas</t>
        </is>
      </c>
    </row>
    <row r="22" ht="40" customHeight="1">
      <c r="A22" t="inlineStr" s="4">
        <is>
          <t>Registe links, versões e evidências objetivas. Sempre que uma nota seja 1 ou 2, defina um responsável e uma ação concreta para eliminar a lacuna.</t>
        </is>
      </c>
    </row>
  </sheetData>
  <mergeCells count="7">
    <mergeCell ref="A1:F1"/>
    <mergeCell ref="A3:C3"/>
    <mergeCell ref="A4:F4"/>
    <mergeCell ref="A6:C6"/>
    <mergeCell ref="A14:C14"/>
    <mergeCell ref="A21:C21"/>
    <mergeCell ref="A22:F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N24"/>
  <sheetViews>
    <sheetView workbookViewId="0">
      <pane ySplit="8" topLeftCell="A9" activePane="bottomLeft" state="frozen"/>
      <selection pane="bottomLeft" activeCell="B2" sqref="B2"/>
    </sheetView>
  </sheetViews>
  <sheetFormatPr defaultRowHeight="18"/>
  <cols>
    <col min="1" max="1" width="10" customWidth="1"/>
    <col min="2" max="2" width="16" customWidth="1"/>
    <col min="3" max="3" width="28" customWidth="1"/>
    <col min="4" max="4" width="44" customWidth="1"/>
    <col min="5" max="5" width="14" customWidth="1"/>
    <col min="6" max="6" width="10" customWidth="1"/>
    <col min="7" max="7" width="11" customWidth="1"/>
    <col min="8" max="8" width="12" customWidth="1"/>
    <col min="9" max="11" width="28" customWidth="1"/>
    <col min="12" max="12" width="18" customWidth="1"/>
    <col min="13" max="13" width="12" customWidth="1"/>
    <col min="14" max="14" width="14" customWidth="1"/>
  </cols>
  <sheetData>
    <row r="1" ht="26" customHeight="1">
      <c r="A1" t="inlineStr" s="1">
        <is>
          <t>Avaliação da qualidade documental</t>
        </is>
      </c>
    </row>
    <row r="2" ht="22" customHeight="1">
      <c r="A2" t="inlineStr" s="2">
        <is>
          <t>Projeto / sistema</t>
        </is>
      </c>
      <c r="B2" s="6"/>
      <c r="J2" t="inlineStr" s="8">
        <is>
          <t>Pontuação global (0-100)</t>
        </is>
      </c>
      <c r="L2" s="9">
        <f>ROUND(SUM($H$9:$H$24),1)</f>
      </c>
    </row>
    <row r="3" ht="22" customHeight="1">
      <c r="A3" t="inlineStr" s="2">
        <is>
          <t>Data da avaliação</t>
        </is>
      </c>
      <c r="B3" s="6"/>
      <c r="J3" t="inlineStr" s="8">
        <is>
          <t>Média técnica (0-100)</t>
        </is>
      </c>
      <c r="L3" s="9">
        <f>IFERROR(ROUND(SUMIFS($H$9:$H$24,$E$9:$E$24,"Técnica")/SUMIFS($F$9:$F$24,$E$9:$E$24,"Técnica")*100,1),"")</f>
      </c>
    </row>
    <row r="4" ht="22" customHeight="1">
      <c r="A4" t="inlineStr" s="2">
        <is>
          <t>Avaliador(es)</t>
        </is>
      </c>
      <c r="B4" s="6"/>
      <c r="J4" t="inlineStr" s="8">
        <is>
          <t>Média funcional (0-100)</t>
        </is>
      </c>
      <c r="L4" s="9">
        <f>IFERROR(ROUND(SUMIFS($H$9:$H$24,$E$9:$E$24,"Funcional")/SUMIFS($F$9:$F$24,$E$9:$E$24,"Funcional")*100,1),"")</f>
      </c>
    </row>
    <row r="5" ht="22" customHeight="1">
      <c r="J5" t="inlineStr" s="8">
        <is>
          <t>Nível de qualidade</t>
        </is>
      </c>
      <c r="L5" s="9">
        <f>IF(L2="","Por avaliar",IF(L2&gt;=85,"Excelente",IF(L2&gt;=70,"Boa",IF(L2&gt;=50,"Suficiente","Crítica"))))</f>
      </c>
    </row>
    <row r="6" ht="22" customHeight="1">
      <c r="J6" t="inlineStr" s="8">
        <is>
          <t>% de critérios críticos</t>
        </is>
      </c>
      <c r="L6" s="9">
        <f>IF(COUNT($G$9:$G$24)=0,"",ROUND(COUNTIF($G$9:$G$24,"&lt;=2")/COUNT($G$9:$G$24)*100,0))</f>
      </c>
    </row>
    <row r="8" ht="32" customHeight="1">
      <c r="A8" t="inlineStr" s="3">
        <is>
          <t>ID</t>
        </is>
      </c>
      <c r="B8" t="inlineStr" s="3">
        <is>
          <t>Dimensão</t>
        </is>
      </c>
      <c r="C8" t="inlineStr" s="3">
        <is>
          <t>Critério</t>
        </is>
      </c>
      <c r="D8" t="inlineStr" s="3">
        <is>
          <t>O que validar</t>
        </is>
      </c>
      <c r="E8" t="inlineStr" s="3">
        <is>
          <t>Tipo</t>
        </is>
      </c>
      <c r="F8" t="inlineStr" s="3">
        <is>
          <t>Peso</t>
        </is>
      </c>
      <c r="G8" t="inlineStr" s="3">
        <is>
          <t>Nota (1-5)</t>
        </is>
      </c>
      <c r="H8" t="inlineStr" s="3">
        <is>
          <t>Pontuação</t>
        </is>
      </c>
      <c r="I8" t="inlineStr" s="3">
        <is>
          <t>Evidências / referências</t>
        </is>
      </c>
      <c r="J8" t="inlineStr" s="3">
        <is>
          <t>Riscos identificados</t>
        </is>
      </c>
      <c r="K8" t="inlineStr" s="3">
        <is>
          <t>Ações recomendadas</t>
        </is>
      </c>
      <c r="L8" t="inlineStr" s="3">
        <is>
          <t>Responsável</t>
        </is>
      </c>
      <c r="M8" t="inlineStr" s="3">
        <is>
          <t>Prioridade</t>
        </is>
      </c>
      <c r="N8" t="inlineStr" s="3">
        <is>
          <t>Estado</t>
        </is>
      </c>
    </row>
    <row r="9" ht="42" customHeight="1">
      <c r="A9" t="inlineStr" s="5">
        <is>
          <t>C01</t>
        </is>
      </c>
      <c r="B9" t="inlineStr" s="4">
        <is>
          <t>Governança</t>
        </is>
      </c>
      <c r="C9" t="inlineStr" s="4">
        <is>
          <t>Clareza de objetivo e âmbito</t>
        </is>
      </c>
      <c r="D9" t="inlineStr" s="4">
        <is>
          <t>Explica para que serve o documento, o sistema abrangido, os limites e o público-alvo.</t>
        </is>
      </c>
      <c r="E9" t="inlineStr" s="5">
        <is>
          <t>Ambas</t>
        </is>
      </c>
      <c r="F9" s="5">
        <v>5</v>
      </c>
      <c r="G9" s="10"/>
      <c r="H9" s="7">
        <f>IF(G9="","",ROUND(F9*G9/5,1))</f>
      </c>
      <c r="I9" s="6"/>
      <c r="J9" s="6"/>
      <c r="K9" s="6"/>
      <c r="L9" s="6"/>
      <c r="M9" s="7">
        <f>IF(G9="","",IF(G9&lt;=2,"Alta",IF(G9=3,"Média","Baixa")))</f>
      </c>
      <c r="N9" s="6"/>
    </row>
    <row r="10" ht="42" customHeight="1">
      <c r="A10" t="inlineStr" s="5">
        <is>
          <t>C02</t>
        </is>
      </c>
      <c r="B10" t="inlineStr" s="4">
        <is>
          <t>Governança</t>
        </is>
      </c>
      <c r="C10" t="inlineStr" s="4">
        <is>
          <t>Estrutura e navegabilidade</t>
        </is>
      </c>
      <c r="D10" t="inlineStr" s="4">
        <is>
          <t>Tem índice, secções coerentes, referências cruzadas e leitura fácil.</t>
        </is>
      </c>
      <c r="E10" t="inlineStr" s="5">
        <is>
          <t>Ambas</t>
        </is>
      </c>
      <c r="F10" s="5">
        <v>5</v>
      </c>
      <c r="G10" s="10"/>
      <c r="H10" s="7">
        <f>IF(G10="","",ROUND(F10*G10/5,1))</f>
      </c>
      <c r="I10" s="6"/>
      <c r="J10" s="6"/>
      <c r="K10" s="6"/>
      <c r="L10" s="6"/>
      <c r="M10" s="7">
        <f>IF(G10="","",IF(G10&lt;=2,"Alta",IF(G10=3,"Média","Baixa")))</f>
      </c>
      <c r="N10" s="6"/>
    </row>
    <row r="11" ht="42" customHeight="1">
      <c r="A11" t="inlineStr" s="5">
        <is>
          <t>C03</t>
        </is>
      </c>
      <c r="B11" t="inlineStr" s="4">
        <is>
          <t>Governança</t>
        </is>
      </c>
      <c r="C11" t="inlineStr" s="4">
        <is>
          <t>Atualização e controlo de alterações</t>
        </is>
      </c>
      <c r="D11" t="inlineStr" s="4">
        <is>
          <t>Inclui versão, data, autores, histórico de alterações e estado de aprovação.</t>
        </is>
      </c>
      <c r="E11" t="inlineStr" s="5">
        <is>
          <t>Ambas</t>
        </is>
      </c>
      <c r="F11" s="5">
        <v>5</v>
      </c>
      <c r="G11" s="10"/>
      <c r="H11" s="7">
        <f>IF(G11="","",ROUND(F11*G11/5,1))</f>
      </c>
      <c r="I11" s="6"/>
      <c r="J11" s="6"/>
      <c r="K11" s="6"/>
      <c r="L11" s="6"/>
      <c r="M11" s="7">
        <f>IF(G11="","",IF(G11&lt;=2,"Alta",IF(G11=3,"Média","Baixa")))</f>
      </c>
      <c r="N11" s="6"/>
    </row>
    <row r="12" ht="42" customHeight="1">
      <c r="A12" t="inlineStr" s="5">
        <is>
          <t>C04</t>
        </is>
      </c>
      <c r="B12" t="inlineStr" s="4">
        <is>
          <t>Governança</t>
        </is>
      </c>
      <c r="C12" t="inlineStr" s="4">
        <is>
          <t>Consistência terminológica</t>
        </is>
      </c>
      <c r="D12" t="inlineStr" s="4">
        <is>
          <t>Usa os mesmos termos de negócio e tecnologia em todo o documento.</t>
        </is>
      </c>
      <c r="E12" t="inlineStr" s="5">
        <is>
          <t>Ambas</t>
        </is>
      </c>
      <c r="F12" s="5">
        <v>4</v>
      </c>
      <c r="G12" s="10"/>
      <c r="H12" s="7">
        <f>IF(G12="","",ROUND(F12*G12/5,1))</f>
      </c>
      <c r="I12" s="6"/>
      <c r="J12" s="6"/>
      <c r="K12" s="6"/>
      <c r="L12" s="6"/>
      <c r="M12" s="7">
        <f>IF(G12="","",IF(G12&lt;=2,"Alta",IF(G12=3,"Média","Baixa")))</f>
      </c>
      <c r="N12" s="6"/>
    </row>
    <row r="13" ht="42" customHeight="1">
      <c r="A13" t="inlineStr" s="5">
        <is>
          <t>C05</t>
        </is>
      </c>
      <c r="B13" t="inlineStr" s="4">
        <is>
          <t>Governança</t>
        </is>
      </c>
      <c r="C13" t="inlineStr" s="4">
        <is>
          <t>Rastreabilidade</t>
        </is>
      </c>
      <c r="D13" t="inlineStr" s="4">
        <is>
          <t>Liga requisitos, processos, decisões técnicas, testes e evidências.</t>
        </is>
      </c>
      <c r="E13" t="inlineStr" s="5">
        <is>
          <t>Ambas</t>
        </is>
      </c>
      <c r="F13" s="5">
        <v>8</v>
      </c>
      <c r="G13" s="10"/>
      <c r="H13" s="7">
        <f>IF(G13="","",ROUND(F13*G13/5,1))</f>
      </c>
      <c r="I13" s="6"/>
      <c r="J13" s="6"/>
      <c r="K13" s="6"/>
      <c r="L13" s="6"/>
      <c r="M13" s="7">
        <f>IF(G13="","",IF(G13&lt;=2,"Alta",IF(G13=3,"Média","Baixa")))</f>
      </c>
      <c r="N13" s="6"/>
    </row>
    <row r="14" ht="42" customHeight="1">
      <c r="A14" t="inlineStr" s="5">
        <is>
          <t>C06</t>
        </is>
      </c>
      <c r="B14" t="inlineStr" s="4">
        <is>
          <t>Funcional</t>
        </is>
      </c>
      <c r="C14" t="inlineStr" s="4">
        <is>
          <t>Cobertura de requisitos e cenários</t>
        </is>
      </c>
      <c r="D14" t="inlineStr" s="4">
        <is>
          <t>Descreve os requisitos principais, fluxos alternativos e casos limite do negócio.</t>
        </is>
      </c>
      <c r="E14" t="inlineStr" s="5">
        <is>
          <t>Funcional</t>
        </is>
      </c>
      <c r="F14" s="5">
        <v>9</v>
      </c>
      <c r="G14" s="10"/>
      <c r="H14" s="7">
        <f>IF(G14="","",ROUND(F14*G14/5,1))</f>
      </c>
      <c r="I14" s="6"/>
      <c r="J14" s="6"/>
      <c r="K14" s="6"/>
      <c r="L14" s="6"/>
      <c r="M14" s="7">
        <f>IF(G14="","",IF(G14&lt;=2,"Alta",IF(G14=3,"Média","Baixa")))</f>
      </c>
      <c r="N14" s="6"/>
    </row>
    <row r="15" ht="42" customHeight="1">
      <c r="A15" t="inlineStr" s="5">
        <is>
          <t>C07</t>
        </is>
      </c>
      <c r="B15" t="inlineStr" s="4">
        <is>
          <t>Funcional</t>
        </is>
      </c>
      <c r="C15" t="inlineStr" s="4">
        <is>
          <t>Regras de negócio e exceções</t>
        </is>
      </c>
      <c r="D15" t="inlineStr" s="4">
        <is>
          <t>Documenta regras, validações, exceções e critérios de decisão relevantes.</t>
        </is>
      </c>
      <c r="E15" t="inlineStr" s="5">
        <is>
          <t>Funcional</t>
        </is>
      </c>
      <c r="F15" s="5">
        <v>7</v>
      </c>
      <c r="G15" s="10"/>
      <c r="H15" s="7">
        <f>IF(G15="","",ROUND(F15*G15/5,1))</f>
      </c>
      <c r="I15" s="6"/>
      <c r="J15" s="6"/>
      <c r="K15" s="6"/>
      <c r="L15" s="6"/>
      <c r="M15" s="7">
        <f>IF(G15="","",IF(G15&lt;=2,"Alta",IF(G15=3,"Média","Baixa")))</f>
      </c>
      <c r="N15" s="6"/>
    </row>
    <row r="16" ht="42" customHeight="1">
      <c r="A16" t="inlineStr" s="5">
        <is>
          <t>C08</t>
        </is>
      </c>
      <c r="B16" t="inlineStr" s="4">
        <is>
          <t>Funcional</t>
        </is>
      </c>
      <c r="C16" t="inlineStr" s="4">
        <is>
          <t>Perfis, permissões e impacto operacional</t>
        </is>
      </c>
      <c r="D16" t="inlineStr" s="4">
        <is>
          <t>Identifica atores, permissões, responsabilidades e efeitos no processo operativo.</t>
        </is>
      </c>
      <c r="E16" t="inlineStr" s="5">
        <is>
          <t>Funcional</t>
        </is>
      </c>
      <c r="F16" s="5">
        <v>4</v>
      </c>
      <c r="G16" s="10"/>
      <c r="H16" s="7">
        <f>IF(G16="","",ROUND(F16*G16/5,1))</f>
      </c>
      <c r="I16" s="6"/>
      <c r="J16" s="6"/>
      <c r="K16" s="6"/>
      <c r="L16" s="6"/>
      <c r="M16" s="7">
        <f>IF(G16="","",IF(G16&lt;=2,"Alta",IF(G16=3,"Média","Baixa")))</f>
      </c>
      <c r="N16" s="6"/>
    </row>
    <row r="17" ht="42" customHeight="1">
      <c r="A17" t="inlineStr" s="5">
        <is>
          <t>C09</t>
        </is>
      </c>
      <c r="B17" t="inlineStr" s="4">
        <is>
          <t>Funcional</t>
        </is>
      </c>
      <c r="C17" t="inlineStr" s="4">
        <is>
          <t>Fluxos, casos de uso e exemplos</t>
        </is>
      </c>
      <c r="D17" t="inlineStr" s="4">
        <is>
          <t>Usa exemplos claros, fluxogramas ou casos de uso para facilitar entendimento.</t>
        </is>
      </c>
      <c r="E17" t="inlineStr" s="5">
        <is>
          <t>Funcional</t>
        </is>
      </c>
      <c r="F17" s="5">
        <v>5</v>
      </c>
      <c r="G17" s="10"/>
      <c r="H17" s="7">
        <f>IF(G17="","",ROUND(F17*G17/5,1))</f>
      </c>
      <c r="I17" s="6"/>
      <c r="J17" s="6"/>
      <c r="K17" s="6"/>
      <c r="L17" s="6"/>
      <c r="M17" s="7">
        <f>IF(G17="","",IF(G17&lt;=2,"Alta",IF(G17=3,"Média","Baixa")))</f>
      </c>
      <c r="N17" s="6"/>
    </row>
    <row r="18" ht="42" customHeight="1">
      <c r="A18" t="inlineStr" s="5">
        <is>
          <t>C10</t>
        </is>
      </c>
      <c r="B18" t="inlineStr" s="4">
        <is>
          <t>Técnica</t>
        </is>
      </c>
      <c r="C18" t="inlineStr" s="4">
        <is>
          <t>Arquitetura e componentes</t>
        </is>
      </c>
      <c r="D18" t="inlineStr" s="4">
        <is>
          <t>Explica módulos, dependências, responsabilidade de cada componente e decisões-chave.</t>
        </is>
      </c>
      <c r="E18" t="inlineStr" s="5">
        <is>
          <t>Técnica</t>
        </is>
      </c>
      <c r="F18" s="5">
        <v>8</v>
      </c>
      <c r="G18" s="10"/>
      <c r="H18" s="7">
        <f>IF(G18="","",ROUND(F18*G18/5,1))</f>
      </c>
      <c r="I18" s="6"/>
      <c r="J18" s="6"/>
      <c r="K18" s="6"/>
      <c r="L18" s="6"/>
      <c r="M18" s="7">
        <f>IF(G18="","",IF(G18&lt;=2,"Alta",IF(G18=3,"Média","Baixa")))</f>
      </c>
      <c r="N18" s="6"/>
    </row>
    <row r="19" ht="42" customHeight="1">
      <c r="A19" t="inlineStr" s="5">
        <is>
          <t>C11</t>
        </is>
      </c>
      <c r="B19" t="inlineStr" s="4">
        <is>
          <t>Técnica</t>
        </is>
      </c>
      <c r="C19" t="inlineStr" s="4">
        <is>
          <t>APIs, integrações e contratos</t>
        </is>
      </c>
      <c r="D19" t="inlineStr" s="4">
        <is>
          <t>Detalha interfaces, endpoints, eventos, formatos de dados e dependências externas.</t>
        </is>
      </c>
      <c r="E19" t="inlineStr" s="5">
        <is>
          <t>Técnica</t>
        </is>
      </c>
      <c r="F19" s="5">
        <v>8</v>
      </c>
      <c r="G19" s="10"/>
      <c r="H19" s="7">
        <f>IF(G19="","",ROUND(F19*G19/5,1))</f>
      </c>
      <c r="I19" s="6"/>
      <c r="J19" s="6"/>
      <c r="K19" s="6"/>
      <c r="L19" s="6"/>
      <c r="M19" s="7">
        <f>IF(G19="","",IF(G19&lt;=2,"Alta",IF(G19=3,"Média","Baixa")))</f>
      </c>
      <c r="N19" s="6"/>
    </row>
    <row r="20" ht="42" customHeight="1">
      <c r="A20" t="inlineStr" s="5">
        <is>
          <t>C12</t>
        </is>
      </c>
      <c r="B20" t="inlineStr" s="4">
        <is>
          <t>Técnica</t>
        </is>
      </c>
      <c r="C20" t="inlineStr" s="4">
        <is>
          <t>Modelo de dados e dicionário</t>
        </is>
      </c>
      <c r="D20" t="inlineStr" s="4">
        <is>
          <t>Inclui entidades, campos, regras de integridade, origem e consumo dos dados.</t>
        </is>
      </c>
      <c r="E20" t="inlineStr" s="5">
        <is>
          <t>Técnica</t>
        </is>
      </c>
      <c r="F20" s="5">
        <v>6</v>
      </c>
      <c r="G20" s="10"/>
      <c r="H20" s="7">
        <f>IF(G20="","",ROUND(F20*G20/5,1))</f>
      </c>
      <c r="I20" s="6"/>
      <c r="J20" s="6"/>
      <c r="K20" s="6"/>
      <c r="L20" s="6"/>
      <c r="M20" s="7">
        <f>IF(G20="","",IF(G20&lt;=2,"Alta",IF(G20=3,"Média","Baixa")))</f>
      </c>
      <c r="N20" s="6"/>
    </row>
    <row r="21" ht="42" customHeight="1">
      <c r="A21" t="inlineStr" s="5">
        <is>
          <t>C13</t>
        </is>
      </c>
      <c r="B21" t="inlineStr" s="4">
        <is>
          <t>Técnica</t>
        </is>
      </c>
      <c r="C21" t="inlineStr" s="4">
        <is>
          <t>Instalação, configuração e dependências</t>
        </is>
      </c>
      <c r="D21" t="inlineStr" s="4">
        <is>
          <t>Permite preparar o ambiente e operar a solução sem conhecimento tácito.</t>
        </is>
      </c>
      <c r="E21" t="inlineStr" s="5">
        <is>
          <t>Técnica</t>
        </is>
      </c>
      <c r="F21" s="5">
        <v>6</v>
      </c>
      <c r="G21" s="10"/>
      <c r="H21" s="7">
        <f>IF(G21="","",ROUND(F21*G21/5,1))</f>
      </c>
      <c r="I21" s="6"/>
      <c r="J21" s="6"/>
      <c r="K21" s="6"/>
      <c r="L21" s="6"/>
      <c r="M21" s="7">
        <f>IF(G21="","",IF(G21&lt;=2,"Alta",IF(G21=3,"Média","Baixa")))</f>
      </c>
      <c r="N21" s="6"/>
    </row>
    <row r="22" ht="42" customHeight="1">
      <c r="A22" t="inlineStr" s="5">
        <is>
          <t>C14</t>
        </is>
      </c>
      <c r="B22" t="inlineStr" s="4">
        <is>
          <t>Técnica</t>
        </is>
      </c>
      <c r="C22" t="inlineStr" s="4">
        <is>
          <t>Operação, monitorização e suporte</t>
        </is>
      </c>
      <c r="D22" t="inlineStr" s="4">
        <is>
          <t>Documenta logs, alertas, troubleshooting, backup e procedimentos operacionais.</t>
        </is>
      </c>
      <c r="E22" t="inlineStr" s="5">
        <is>
          <t>Técnica</t>
        </is>
      </c>
      <c r="F22" s="5">
        <v>4</v>
      </c>
      <c r="G22" s="10"/>
      <c r="H22" s="7">
        <f>IF(G22="","",ROUND(F22*G22/5,1))</f>
      </c>
      <c r="I22" s="6"/>
      <c r="J22" s="6"/>
      <c r="K22" s="6"/>
      <c r="L22" s="6"/>
      <c r="M22" s="7">
        <f>IF(G22="","",IF(G22&lt;=2,"Alta",IF(G22=3,"Média","Baixa")))</f>
      </c>
      <c r="N22" s="6"/>
    </row>
    <row r="23" ht="42" customHeight="1">
      <c r="A23" t="inlineStr" s="5">
        <is>
          <t>C15</t>
        </is>
      </c>
      <c r="B23" t="inlineStr" s="4">
        <is>
          <t>Técnica</t>
        </is>
      </c>
      <c r="C23" t="inlineStr" s="4">
        <is>
          <t>Segurança e requisitos não funcionais</t>
        </is>
      </c>
      <c r="D23" t="inlineStr" s="4">
        <is>
          <t>Cobre segurança, performance, disponibilidade, auditoria e conformidade.</t>
        </is>
      </c>
      <c r="E23" t="inlineStr" s="5">
        <is>
          <t>Técnica</t>
        </is>
      </c>
      <c r="F23" s="5">
        <v>8</v>
      </c>
      <c r="G23" s="10"/>
      <c r="H23" s="7">
        <f>IF(G23="","",ROUND(F23*G23/5,1))</f>
      </c>
      <c r="I23" s="6"/>
      <c r="J23" s="6"/>
      <c r="K23" s="6"/>
      <c r="L23" s="6"/>
      <c r="M23" s="7">
        <f>IF(G23="","",IF(G23&lt;=2,"Alta",IF(G23=3,"Média","Baixa")))</f>
      </c>
      <c r="N23" s="6"/>
    </row>
    <row r="24" ht="42" customHeight="1">
      <c r="A24" t="inlineStr" s="5">
        <is>
          <t>C16</t>
        </is>
      </c>
      <c r="B24" t="inlineStr" s="4">
        <is>
          <t>Validação</t>
        </is>
      </c>
      <c r="C24" t="inlineStr" s="4">
        <is>
          <t>Critérios de aceitação e evidência de teste</t>
        </is>
      </c>
      <c r="D24" t="inlineStr" s="4">
        <is>
          <t>Mostra como validar o conteúdo com testes, evidências ou critérios objetivos.</t>
        </is>
      </c>
      <c r="E24" t="inlineStr" s="5">
        <is>
          <t>Ambas</t>
        </is>
      </c>
      <c r="F24" s="5">
        <v>8</v>
      </c>
      <c r="G24" s="10"/>
      <c r="H24" s="7">
        <f>IF(G24="","",ROUND(F24*G24/5,1))</f>
      </c>
      <c r="I24" s="6"/>
      <c r="J24" s="6"/>
      <c r="K24" s="6"/>
      <c r="L24" s="6"/>
      <c r="M24" s="7">
        <f>IF(G24="","",IF(G24&lt;=2,"Alta",IF(G24=3,"Média","Baixa")))</f>
      </c>
      <c r="N24" s="6"/>
    </row>
  </sheetData>
  <autoFilter ref="A8:N24"/>
  <mergeCells count="9">
    <mergeCell ref="A1:N1"/>
    <mergeCell ref="B2:H2"/>
    <mergeCell ref="B3:H3"/>
    <mergeCell ref="B4:H4"/>
    <mergeCell ref="J2:K2"/>
    <mergeCell ref="J3:K3"/>
    <mergeCell ref="J4:K4"/>
    <mergeCell ref="J5:K5"/>
    <mergeCell ref="J6:K6"/>
  </mergeCells>
  <dataValidations count="2">
    <dataValidation type="whole" operator="between" allowBlank="1" showErrorMessage="1" sqref="G9:G24">
      <formula1>1</formula1>
      <formula2>5</formula2>
    </dataValidation>
    <dataValidation type="list" allowBlank="1" showInputMessage="1" sqref="N9:N24">
      <formula1>"Não iniciado,Em curso,Planeado,Concluído"</formula1>
    </dataValidation>
  </dataValidations>
  <pageMargins left="0.5" right="0.5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Instrucoes</vt:lpstr>
      <vt:lpstr>Avaliacao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avaliação da qualidade da documentação</dc:title>
  <dc:subject>Avaliação de documentação técnica e funcional</dc:subject>
  <dc:creator>Cursor</dc:creator>
  <cp:keywords>documentação,qualidade,excel,avaliação</cp:keywords>
  <dc:description>Template Excel para avaliar documentação técnica e funcional com pesos e pontuação automática.</dc:description>
  <cp:lastModifiedBy>Cursor</cp:lastModifiedBy>
  <dcterms:created xsi:type="dcterms:W3CDTF">2026-04-29T22:38:03Z</dcterms:created>
  <dcterms:modified xsi:type="dcterms:W3CDTF">2026-04-29T22:38:03Z</dcterms:modified>
</cp:coreProperties>
</file>